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week" sheetId="1" state="visible" r:id="rId3"/>
    <sheet name="15week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<sst xmlns="http://schemas.openxmlformats.org/spreadsheetml/2006/main" count="52" uniqueCount="19">
  <si>
    <t xml:space="preserve">Name</t>
  </si>
  <si>
    <t xml:space="preserve">Date</t>
  </si>
  <si>
    <t xml:space="preserve">Course</t>
  </si>
  <si>
    <t xml:space="preserve">ECTS</t>
  </si>
  <si>
    <t xml:space="preserve">[ECTS]</t>
  </si>
  <si>
    <t xml:space="preserve">Semester</t>
  </si>
  <si>
    <t xml:space="preserve">Workweek</t>
  </si>
  <si>
    <t xml:space="preserve">[hr]</t>
  </si>
  <si>
    <t xml:space="preserve">Week</t>
  </si>
  <si>
    <t xml:space="preserve">Min</t>
  </si>
  <si>
    <t xml:space="preserve">Likely</t>
  </si>
  <si>
    <t xml:space="preserve">Max</t>
  </si>
  <si>
    <t xml:space="preserve">Actual</t>
  </si>
  <si>
    <t xml:space="preserve">ECTS (160)</t>
  </si>
  <si>
    <t xml:space="preserve">Total</t>
  </si>
  <si>
    <t xml:space="preserve">ECTS equiv</t>
  </si>
  <si>
    <t xml:space="preserve">ECTS(160)</t>
  </si>
  <si>
    <t xml:space="preserve">Part 1</t>
  </si>
  <si>
    <t xml:space="preserve">Part 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</si>
</sst>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.00%"/>
    <numFmt numFmtId="168" formatCode="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  <c r="B4" s="2" t="n">
        <v>6</v>
      </c>
      <c r="C4" s="3" t="s">
        <v>4</v>
      </c>
    </row>
    <row r="5" customFormat="false" ht="12.8" hidden="false" customHeight="false" outlineLevel="0" collapsed="false">
      <c r="A5" s="1" t="s">
        <v>5</v>
      </c>
      <c r="B5" s="2" t="n">
        <v>24</v>
      </c>
      <c r="C5" s="3" t="s">
        <v>4</v>
      </c>
    </row>
    <row r="6" customFormat="false" ht="12.8" hidden="false" customHeight="false" outlineLevel="0" collapsed="false">
      <c r="A6" s="1" t="s">
        <v>6</v>
      </c>
      <c r="B6" s="2" t="n">
        <v>40</v>
      </c>
      <c r="C6" s="3" t="s">
        <v>7</v>
      </c>
    </row>
    <row r="8" customFormat="false" ht="12.8" hidden="false" customHeight="false" outlineLevel="0" collapsed="false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3</v>
      </c>
      <c r="G8" s="1" t="s">
        <v>13</v>
      </c>
    </row>
    <row r="9" customFormat="false" ht="12.8" hidden="false" customHeight="false" outlineLevel="0" collapsed="false">
      <c r="B9" s="3" t="s">
        <v>7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7</v>
      </c>
    </row>
    <row r="10" customFormat="false" ht="12.8" hidden="false" customHeight="false" outlineLevel="0" collapsed="false">
      <c r="A10" s="2" t="n">
        <v>1</v>
      </c>
      <c r="B10" s="4"/>
      <c r="C10" s="4"/>
      <c r="D10" s="4"/>
      <c r="E10" s="4"/>
      <c r="F10" s="4" t="n">
        <f aca="false">($B$4/$B$5)*$B$6</f>
        <v>10</v>
      </c>
      <c r="G10" s="5" t="n">
        <f aca="false">160/12</f>
        <v>13.3333333333333</v>
      </c>
    </row>
    <row r="11" customFormat="false" ht="12.8" hidden="false" customHeight="false" outlineLevel="0" collapsed="false">
      <c r="A11" s="2" t="n">
        <v>2</v>
      </c>
      <c r="B11" s="4"/>
      <c r="C11" s="4"/>
      <c r="D11" s="4"/>
      <c r="E11" s="4"/>
      <c r="F11" s="4" t="n">
        <f aca="false">($B$4/$B$5)*$B$6</f>
        <v>10</v>
      </c>
      <c r="G11" s="5" t="n">
        <f aca="false">160/12</f>
        <v>13.3333333333333</v>
      </c>
    </row>
    <row r="12" customFormat="false" ht="12.8" hidden="false" customHeight="false" outlineLevel="0" collapsed="false">
      <c r="A12" s="2" t="n">
        <v>3</v>
      </c>
      <c r="B12" s="4"/>
      <c r="C12" s="4"/>
      <c r="D12" s="4"/>
      <c r="E12" s="4"/>
      <c r="F12" s="4" t="n">
        <f aca="false">($B$4/$B$5)*$B$6</f>
        <v>10</v>
      </c>
      <c r="G12" s="5" t="n">
        <f aca="false">160/12</f>
        <v>13.3333333333333</v>
      </c>
    </row>
    <row r="13" customFormat="false" ht="12.8" hidden="false" customHeight="false" outlineLevel="0" collapsed="false">
      <c r="A13" s="2" t="n">
        <v>4</v>
      </c>
      <c r="B13" s="4"/>
      <c r="C13" s="4"/>
      <c r="D13" s="4"/>
      <c r="E13" s="4"/>
      <c r="F13" s="4" t="n">
        <f aca="false">($B$4/$B$5)*$B$6</f>
        <v>10</v>
      </c>
      <c r="G13" s="5" t="n">
        <f aca="false">160/12</f>
        <v>13.3333333333333</v>
      </c>
    </row>
    <row r="14" customFormat="false" ht="12.8" hidden="false" customHeight="false" outlineLevel="0" collapsed="false">
      <c r="A14" s="2" t="n">
        <v>5</v>
      </c>
      <c r="B14" s="4"/>
      <c r="C14" s="4"/>
      <c r="D14" s="4"/>
      <c r="E14" s="4"/>
      <c r="F14" s="4" t="n">
        <f aca="false">($B$4/$B$5)*$B$6</f>
        <v>10</v>
      </c>
      <c r="G14" s="5" t="n">
        <f aca="false">160/12</f>
        <v>13.3333333333333</v>
      </c>
    </row>
    <row r="15" customFormat="false" ht="12.8" hidden="false" customHeight="false" outlineLevel="0" collapsed="false">
      <c r="A15" s="2" t="n">
        <v>6</v>
      </c>
      <c r="B15" s="4"/>
      <c r="C15" s="4"/>
      <c r="D15" s="4"/>
      <c r="E15" s="4"/>
      <c r="F15" s="4" t="n">
        <f aca="false">($B$4/$B$5)*$B$6</f>
        <v>10</v>
      </c>
      <c r="G15" s="5" t="n">
        <f aca="false">160/12</f>
        <v>13.3333333333333</v>
      </c>
    </row>
    <row r="16" customFormat="false" ht="12.8" hidden="false" customHeight="false" outlineLevel="0" collapsed="false">
      <c r="A16" s="2" t="n">
        <v>7</v>
      </c>
      <c r="B16" s="4"/>
      <c r="C16" s="4"/>
      <c r="D16" s="4"/>
      <c r="E16" s="4"/>
      <c r="F16" s="4" t="n">
        <f aca="false">($B$4/$B$5)*$B$6</f>
        <v>10</v>
      </c>
      <c r="G16" s="5" t="n">
        <f aca="false">160/12</f>
        <v>13.3333333333333</v>
      </c>
    </row>
    <row r="17" customFormat="false" ht="12.8" hidden="false" customHeight="false" outlineLevel="0" collapsed="false">
      <c r="A17" s="2" t="n">
        <v>8</v>
      </c>
      <c r="B17" s="4"/>
      <c r="C17" s="4"/>
      <c r="D17" s="4"/>
      <c r="E17" s="4"/>
      <c r="F17" s="4" t="n">
        <f aca="false">($B$4/$B$5)*$B$6</f>
        <v>10</v>
      </c>
      <c r="G17" s="5" t="n">
        <f aca="false">160/12</f>
        <v>13.3333333333333</v>
      </c>
    </row>
    <row r="18" customFormat="false" ht="12.8" hidden="false" customHeight="false" outlineLevel="0" collapsed="false">
      <c r="A18" s="2" t="n">
        <v>9</v>
      </c>
      <c r="B18" s="4"/>
      <c r="C18" s="4"/>
      <c r="D18" s="4"/>
      <c r="E18" s="4"/>
      <c r="F18" s="4" t="n">
        <f aca="false">($B$4/$B$5)*$B$6</f>
        <v>10</v>
      </c>
      <c r="G18" s="5" t="n">
        <f aca="false">160/12</f>
        <v>13.3333333333333</v>
      </c>
    </row>
    <row r="19" customFormat="false" ht="12.8" hidden="false" customHeight="false" outlineLevel="0" collapsed="false">
      <c r="A19" s="2" t="n">
        <v>10</v>
      </c>
      <c r="B19" s="4"/>
      <c r="C19" s="4"/>
      <c r="D19" s="4"/>
      <c r="E19" s="4"/>
      <c r="F19" s="4" t="n">
        <f aca="false">($B$4/$B$5)*$B$6</f>
        <v>10</v>
      </c>
      <c r="G19" s="5" t="n">
        <f aca="false">160/12</f>
        <v>13.3333333333333</v>
      </c>
    </row>
    <row r="20" customFormat="false" ht="12.8" hidden="false" customHeight="false" outlineLevel="0" collapsed="false">
      <c r="A20" s="2" t="n">
        <v>11</v>
      </c>
      <c r="B20" s="4"/>
      <c r="C20" s="4"/>
      <c r="D20" s="4"/>
      <c r="E20" s="4"/>
      <c r="F20" s="4" t="n">
        <f aca="false">($B$4/$B$5)*$B$6</f>
        <v>10</v>
      </c>
      <c r="G20" s="5" t="n">
        <f aca="false">160/12</f>
        <v>13.3333333333333</v>
      </c>
    </row>
    <row r="21" customFormat="false" ht="12.8" hidden="false" customHeight="false" outlineLevel="0" collapsed="false">
      <c r="A21" s="2" t="n">
        <v>12</v>
      </c>
      <c r="B21" s="4"/>
      <c r="C21" s="4"/>
      <c r="D21" s="4"/>
      <c r="E21" s="4"/>
      <c r="F21" s="4" t="n">
        <f aca="false">($B$4/$B$5)*$B$6</f>
        <v>10</v>
      </c>
      <c r="G21" s="5" t="n">
        <f aca="false">160/12</f>
        <v>13.3333333333333</v>
      </c>
    </row>
    <row r="22" customFormat="false" ht="12.8" hidden="false" customHeight="false" outlineLevel="0" collapsed="false">
      <c r="A22" s="1" t="s">
        <v>14</v>
      </c>
      <c r="B22" s="2" t="n">
        <f aca="false">SUM(B10:B21)</f>
        <v>0</v>
      </c>
      <c r="C22" s="2" t="n">
        <f aca="false">SUM(C10:C21)</f>
        <v>0</v>
      </c>
      <c r="D22" s="2" t="n">
        <f aca="false">SUM(D10:D21)</f>
        <v>0</v>
      </c>
      <c r="E22" s="2" t="n">
        <f aca="false">SUM(E10:E21)</f>
        <v>0</v>
      </c>
      <c r="F22" s="2" t="n">
        <f aca="false">SUM(F10:F21)</f>
        <v>120</v>
      </c>
      <c r="G22" s="2" t="n">
        <f aca="false">SUM(G10:G21)</f>
        <v>160</v>
      </c>
    </row>
    <row r="24" customFormat="false" ht="12.8" hidden="false" customHeight="false" outlineLevel="0" collapsed="false">
      <c r="A24" s="1" t="s">
        <v>15</v>
      </c>
      <c r="B24" s="6" t="n">
        <f aca="false">B22/$F$22</f>
        <v>0</v>
      </c>
      <c r="C24" s="6" t="n">
        <f aca="false">C22/$F$22</f>
        <v>0</v>
      </c>
      <c r="D24" s="6" t="n">
        <f aca="false">D22/$F$22</f>
        <v>0</v>
      </c>
      <c r="E24" s="6" t="n">
        <f aca="false">E22/$F$22</f>
        <v>0</v>
      </c>
      <c r="F24" s="7" t="n">
        <f aca="false">F22/$F$22</f>
        <v>1</v>
      </c>
      <c r="G24" s="7" t="n">
        <f aca="false">G22/F22</f>
        <v>1.33333333333333</v>
      </c>
    </row>
    <row r="25" customFormat="false" ht="12.8" hidden="false" customHeight="false" outlineLevel="0" collapsed="false">
      <c r="A25" s="1" t="s">
        <v>16</v>
      </c>
      <c r="B25" s="6" t="n">
        <f aca="false">B22/$G$22</f>
        <v>0</v>
      </c>
      <c r="C25" s="6" t="n">
        <f aca="false">C22/$G$22</f>
        <v>0</v>
      </c>
      <c r="D25" s="6" t="n">
        <f aca="false">D22/$G$22</f>
        <v>0</v>
      </c>
      <c r="E25" s="6" t="n">
        <f aca="false">E22/$G$22</f>
        <v>0</v>
      </c>
      <c r="F25" s="7" t="n">
        <f aca="false">F22/$G$22</f>
        <v>0.75</v>
      </c>
      <c r="G25" s="7" t="n">
        <f aca="false">G22/$G$22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4.66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/>
      <c r="B4" s="1" t="s">
        <v>17</v>
      </c>
      <c r="C4" s="1" t="s">
        <v>18</v>
      </c>
    </row>
    <row r="5" customFormat="false" ht="12.8" hidden="false" customHeight="false" outlineLevel="0" collapsed="false">
      <c r="A5" s="1" t="s">
        <v>3</v>
      </c>
      <c r="B5" s="2" t="n">
        <v>6</v>
      </c>
      <c r="C5" s="2" t="n">
        <v>6</v>
      </c>
      <c r="D5" s="3" t="s">
        <v>4</v>
      </c>
    </row>
    <row r="6" customFormat="false" ht="12.8" hidden="false" customHeight="false" outlineLevel="0" collapsed="false">
      <c r="A6" s="1" t="s">
        <v>5</v>
      </c>
      <c r="B6" s="2" t="n">
        <v>24</v>
      </c>
      <c r="C6" s="2" t="n">
        <v>6</v>
      </c>
      <c r="D6" s="3" t="s">
        <v>4</v>
      </c>
    </row>
    <row r="7" customFormat="false" ht="12.8" hidden="false" customHeight="false" outlineLevel="0" collapsed="false">
      <c r="A7" s="1" t="s">
        <v>6</v>
      </c>
      <c r="B7" s="2" t="n">
        <v>40</v>
      </c>
      <c r="C7" s="2" t="n">
        <v>40</v>
      </c>
      <c r="D7" s="3" t="s">
        <v>7</v>
      </c>
    </row>
    <row r="8" customFormat="false" ht="12.8" hidden="false" customHeight="false" outlineLevel="0" collapsed="false">
      <c r="A8" s="1"/>
    </row>
    <row r="10" customFormat="false" ht="12.8" hidden="false" customHeight="false" outlineLevel="0" collapsed="false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3</v>
      </c>
      <c r="G10" s="1" t="s">
        <v>13</v>
      </c>
    </row>
    <row r="11" customFormat="false" ht="12.8" hidden="false" customHeight="false" outlineLevel="0" collapsed="false">
      <c r="B11" s="3" t="s">
        <v>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</row>
    <row r="12" customFormat="false" ht="12.8" hidden="false" customHeight="false" outlineLevel="0" collapsed="false">
      <c r="A12" s="2" t="n">
        <v>1</v>
      </c>
      <c r="B12" s="4"/>
      <c r="C12" s="4"/>
      <c r="D12" s="4"/>
      <c r="E12" s="4"/>
      <c r="F12" s="4" t="n">
        <f aca="false">($B$5/$B$6)*$B$7</f>
        <v>10</v>
      </c>
      <c r="G12" s="2" t="n">
        <f aca="false">160/12</f>
        <v>13.3333333333333</v>
      </c>
    </row>
    <row r="13" customFormat="false" ht="12.8" hidden="false" customHeight="false" outlineLevel="0" collapsed="false">
      <c r="A13" s="2" t="n">
        <v>2</v>
      </c>
      <c r="B13" s="4"/>
      <c r="C13" s="4"/>
      <c r="D13" s="4"/>
      <c r="E13" s="4"/>
      <c r="F13" s="4" t="n">
        <f aca="false">($B$5/$B$6)*$B$7</f>
        <v>10</v>
      </c>
      <c r="G13" s="2" t="n">
        <f aca="false">160/12</f>
        <v>13.3333333333333</v>
      </c>
    </row>
    <row r="14" customFormat="false" ht="12.8" hidden="false" customHeight="false" outlineLevel="0" collapsed="false">
      <c r="A14" s="2" t="n">
        <v>3</v>
      </c>
      <c r="B14" s="4"/>
      <c r="C14" s="4"/>
      <c r="D14" s="4"/>
      <c r="E14" s="4"/>
      <c r="F14" s="4" t="n">
        <f aca="false">($B$5/$B$6)*$B$7</f>
        <v>10</v>
      </c>
      <c r="G14" s="2" t="n">
        <f aca="false">160/12</f>
        <v>13.3333333333333</v>
      </c>
    </row>
    <row r="15" customFormat="false" ht="12.8" hidden="false" customHeight="false" outlineLevel="0" collapsed="false">
      <c r="A15" s="2" t="n">
        <v>4</v>
      </c>
      <c r="B15" s="4"/>
      <c r="C15" s="4"/>
      <c r="D15" s="4"/>
      <c r="E15" s="4"/>
      <c r="F15" s="4" t="n">
        <f aca="false">($B$5/$B$6)*$B$7</f>
        <v>10</v>
      </c>
      <c r="G15" s="2" t="n">
        <f aca="false">160/12</f>
        <v>13.3333333333333</v>
      </c>
    </row>
    <row r="16" customFormat="false" ht="12.8" hidden="false" customHeight="false" outlineLevel="0" collapsed="false">
      <c r="A16" s="2" t="n">
        <v>5</v>
      </c>
      <c r="B16" s="4"/>
      <c r="C16" s="4"/>
      <c r="D16" s="4"/>
      <c r="E16" s="4"/>
      <c r="F16" s="4" t="n">
        <f aca="false">($B$5/$B$6)*$B$7</f>
        <v>10</v>
      </c>
      <c r="G16" s="2" t="n">
        <f aca="false">160/12</f>
        <v>13.3333333333333</v>
      </c>
    </row>
    <row r="17" customFormat="false" ht="12.8" hidden="false" customHeight="false" outlineLevel="0" collapsed="false">
      <c r="A17" s="2" t="n">
        <v>6</v>
      </c>
      <c r="B17" s="4"/>
      <c r="C17" s="4"/>
      <c r="D17" s="4"/>
      <c r="E17" s="4"/>
      <c r="F17" s="4" t="n">
        <f aca="false">($B$5/$B$6)*$B$7</f>
        <v>10</v>
      </c>
      <c r="G17" s="2" t="n">
        <f aca="false">160/12</f>
        <v>13.3333333333333</v>
      </c>
    </row>
    <row r="18" customFormat="false" ht="12.8" hidden="false" customHeight="false" outlineLevel="0" collapsed="false">
      <c r="A18" s="2" t="n">
        <v>7</v>
      </c>
      <c r="B18" s="4"/>
      <c r="C18" s="4"/>
      <c r="D18" s="4"/>
      <c r="E18" s="4"/>
      <c r="F18" s="4" t="n">
        <f aca="false">($B$5/$B$6)*$B$7</f>
        <v>10</v>
      </c>
      <c r="G18" s="2" t="n">
        <f aca="false">160/12</f>
        <v>13.3333333333333</v>
      </c>
    </row>
    <row r="19" customFormat="false" ht="12.8" hidden="false" customHeight="false" outlineLevel="0" collapsed="false">
      <c r="A19" s="2" t="n">
        <v>8</v>
      </c>
      <c r="B19" s="4"/>
      <c r="C19" s="4"/>
      <c r="D19" s="4"/>
      <c r="E19" s="4"/>
      <c r="F19" s="4" t="n">
        <f aca="false">($B$5/$B$6)*$B$7</f>
        <v>10</v>
      </c>
      <c r="G19" s="2" t="n">
        <f aca="false">160/12</f>
        <v>13.3333333333333</v>
      </c>
    </row>
    <row r="20" customFormat="false" ht="12.8" hidden="false" customHeight="false" outlineLevel="0" collapsed="false">
      <c r="A20" s="2" t="n">
        <v>9</v>
      </c>
      <c r="B20" s="4"/>
      <c r="C20" s="4"/>
      <c r="D20" s="4"/>
      <c r="E20" s="4"/>
      <c r="F20" s="4" t="n">
        <f aca="false">($B$5/$B$6)*$B$7</f>
        <v>10</v>
      </c>
      <c r="G20" s="2" t="n">
        <f aca="false">160/12</f>
        <v>13.3333333333333</v>
      </c>
    </row>
    <row r="21" customFormat="false" ht="12.8" hidden="false" customHeight="false" outlineLevel="0" collapsed="false">
      <c r="A21" s="2" t="n">
        <v>10</v>
      </c>
      <c r="B21" s="4"/>
      <c r="C21" s="4"/>
      <c r="D21" s="4"/>
      <c r="E21" s="4"/>
      <c r="F21" s="4" t="n">
        <f aca="false">($B$5/$B$6)*$B$7</f>
        <v>10</v>
      </c>
      <c r="G21" s="2" t="n">
        <f aca="false">160/12</f>
        <v>13.3333333333333</v>
      </c>
    </row>
    <row r="22" customFormat="false" ht="12.8" hidden="false" customHeight="false" outlineLevel="0" collapsed="false">
      <c r="A22" s="2" t="n">
        <v>11</v>
      </c>
      <c r="B22" s="4"/>
      <c r="C22" s="4"/>
      <c r="D22" s="4"/>
      <c r="E22" s="4"/>
      <c r="F22" s="4" t="n">
        <f aca="false">($B$5/$B$6)*$B$7</f>
        <v>10</v>
      </c>
      <c r="G22" s="2" t="n">
        <f aca="false">160/12</f>
        <v>13.3333333333333</v>
      </c>
    </row>
    <row r="23" customFormat="false" ht="12.8" hidden="false" customHeight="false" outlineLevel="0" collapsed="false">
      <c r="A23" s="2" t="n">
        <v>12</v>
      </c>
      <c r="B23" s="4"/>
      <c r="C23" s="4"/>
      <c r="D23" s="4"/>
      <c r="E23" s="4"/>
      <c r="F23" s="4" t="n">
        <f aca="false">($B$5/$B$6)*$B$7</f>
        <v>10</v>
      </c>
      <c r="G23" s="2" t="n">
        <f aca="false">160/12</f>
        <v>13.3333333333333</v>
      </c>
    </row>
    <row r="24" customFormat="false" ht="12.8" hidden="false" customHeight="false" outlineLevel="0" collapsed="false">
      <c r="A24" s="2" t="n">
        <v>13</v>
      </c>
      <c r="D24" s="4"/>
      <c r="F24" s="4" t="n">
        <f aca="false">($C$5/$C$6)*$C$7</f>
        <v>40</v>
      </c>
      <c r="G24" s="2" t="n">
        <f aca="false">160/3</f>
        <v>53.3333333333333</v>
      </c>
    </row>
    <row r="25" customFormat="false" ht="12.8" hidden="false" customHeight="false" outlineLevel="0" collapsed="false">
      <c r="A25" s="2" t="n">
        <v>14</v>
      </c>
      <c r="D25" s="4"/>
      <c r="F25" s="4" t="n">
        <f aca="false">($C$5/$C$6)*$C$7</f>
        <v>40</v>
      </c>
      <c r="G25" s="2" t="n">
        <f aca="false">160/3</f>
        <v>53.3333333333333</v>
      </c>
    </row>
    <row r="26" customFormat="false" ht="12.8" hidden="false" customHeight="false" outlineLevel="0" collapsed="false">
      <c r="A26" s="2" t="n">
        <v>15</v>
      </c>
      <c r="D26" s="4"/>
      <c r="F26" s="4" t="n">
        <f aca="false">($C$5/$C$6)*$C$7</f>
        <v>40</v>
      </c>
      <c r="G26" s="2" t="n">
        <f aca="false">160/3</f>
        <v>53.3333333333333</v>
      </c>
    </row>
    <row r="27" customFormat="false" ht="12.8" hidden="false" customHeight="false" outlineLevel="0" collapsed="false">
      <c r="A27" s="1" t="s">
        <v>14</v>
      </c>
      <c r="B27" s="2" t="n">
        <f aca="false">SUM(B12:B26)</f>
        <v>0</v>
      </c>
      <c r="C27" s="2" t="n">
        <f aca="false">SUM(C12:C26)</f>
        <v>0</v>
      </c>
      <c r="D27" s="2" t="n">
        <f aca="false">SUM(D12:D26)</f>
        <v>0</v>
      </c>
      <c r="E27" s="2" t="n">
        <f aca="false">SUM(E12:E26)</f>
        <v>0</v>
      </c>
      <c r="F27" s="2" t="n">
        <f aca="false">SUM(F12:F26)</f>
        <v>240</v>
      </c>
      <c r="G27" s="2" t="n">
        <f aca="false">SUM(G12:G26)</f>
        <v>320</v>
      </c>
    </row>
    <row r="28" customFormat="false" ht="12.8" hidden="false" customHeight="false" outlineLevel="0" collapsed="false">
      <c r="F28" s="8"/>
      <c r="G28" s="8"/>
    </row>
    <row r="29" customFormat="false" ht="12.8" hidden="false" customHeight="false" outlineLevel="0" collapsed="false">
      <c r="A29" s="1" t="s">
        <v>15</v>
      </c>
      <c r="B29" s="6" t="n">
        <f aca="false">B27/$F$27</f>
        <v>0</v>
      </c>
      <c r="C29" s="6" t="n">
        <f aca="false">C27/$F$27</f>
        <v>0</v>
      </c>
      <c r="D29" s="6" t="n">
        <f aca="false">D27/$F$27</f>
        <v>0</v>
      </c>
      <c r="E29" s="6" t="n">
        <f aca="false">E27/$F$27</f>
        <v>0</v>
      </c>
      <c r="F29" s="6" t="n">
        <f aca="false">F27/$F$27</f>
        <v>1</v>
      </c>
      <c r="G29" s="6" t="n">
        <f aca="false">G27/$F$27</f>
        <v>1.33333333333333</v>
      </c>
    </row>
    <row r="30" customFormat="false" ht="12.8" hidden="false" customHeight="false" outlineLevel="0" collapsed="false">
      <c r="A30" s="1" t="s">
        <v>13</v>
      </c>
      <c r="B30" s="6" t="n">
        <f aca="false">B27/$G$27</f>
        <v>0</v>
      </c>
      <c r="C30" s="6" t="n">
        <f aca="false">C27/$G$27</f>
        <v>0</v>
      </c>
      <c r="D30" s="6" t="n">
        <f aca="false">D27/$G$27</f>
        <v>0</v>
      </c>
      <c r="E30" s="6" t="n">
        <f aca="false">E27/$G$27</f>
        <v>0</v>
      </c>
      <c r="F30" s="6" t="n">
        <f aca="false">F27/$G$27</f>
        <v>0.75</v>
      </c>
      <c r="G30" s="6" t="n">
        <f aca="false">G27/$G$27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2023-10-27T10:33:19Z</dcterms:created>
  <dc:creator/>
  <dc:description/>
  <dc:language>en-US</dc:language>
  <cp:lastModifiedBy/>
  <dcterms:modified xsi:type="dcterms:W3CDTF">2026-09-20T21:34:41Z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